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Assessment &amp; SoA" sheetId="1" r:id="rId5"/>
    <sheet state="visible" name="Executive Summary" sheetId="2" r:id="rId6"/>
  </sheets>
  <definedNames/>
  <calcPr/>
</workbook>
</file>

<file path=xl/sharedStrings.xml><?xml version="1.0" encoding="utf-8"?>
<sst xmlns="http://schemas.openxmlformats.org/spreadsheetml/2006/main" count="169" uniqueCount="118">
  <si>
    <t>Control ID</t>
  </si>
  <si>
    <t>ISO 27001:2022 Domain</t>
  </si>
  <si>
    <t>NIST CSF 2.0 Mapping</t>
  </si>
  <si>
    <t>Control Description</t>
  </si>
  <si>
    <t>Applicability (SoA)</t>
  </si>
  <si>
    <t>Inclusion / Exclusion Justification</t>
  </si>
  <si>
    <t>Current Implementation Status</t>
  </si>
  <si>
    <t>Implementation Maturity (CMMI)</t>
  </si>
  <si>
    <t>Control Gap / Finding</t>
  </si>
  <si>
    <t>Inherent Risk Level</t>
  </si>
  <si>
    <t>Control Owner</t>
  </si>
  <si>
    <t>Remediation Action Plan</t>
  </si>
  <si>
    <t>Target Timeline</t>
  </si>
  <si>
    <t>A.5.23</t>
  </si>
  <si>
    <t>Organizational Controls</t>
  </si>
  <si>
    <t>PR.PS-01</t>
  </si>
  <si>
    <t>Information security for use of cloud services</t>
  </si>
  <si>
    <t>Applicable</t>
  </si>
  <si>
    <t>Core production applications and customer transaction databases run on AWS cloud infrastructure.</t>
  </si>
  <si>
    <t>Partially Implemented</t>
  </si>
  <si>
    <t>Level 2 - Repeatable</t>
  </si>
  <si>
    <t>Cloud infrastructure configured manually via AWS Console without Infrastructure as Code (IaC) baselines; missing automated drift detection on S3 buckets.</t>
  </si>
  <si>
    <t>HIGH</t>
  </si>
  <si>
    <t>DevOps / SecOps</t>
  </si>
  <si>
    <t>Enforce Terraform IaC deployment pipelines and activate AWS GuardDuty with S3 public access block policies.</t>
  </si>
  <si>
    <t>60 Days</t>
  </si>
  <si>
    <t>A.8.12</t>
  </si>
  <si>
    <t>Technological Controls</t>
  </si>
  <si>
    <t>PR.DS-01</t>
  </si>
  <si>
    <t>Data leakage prevention (DLP) &amp; PII protection; supporting: data masking (A.8.11), test information (A.8.33)</t>
  </si>
  <si>
    <t>Platform processes personal identifiable information (PII) subject to the Indian DPDP Act 2023.</t>
  </si>
  <si>
    <t>Not Implemented</t>
  </si>
  <si>
    <t>Level 1 - Initial</t>
  </si>
  <si>
    <t>Unmasked customer PII present in non-production database staging snapshots without data masking or automated DLP monitoring.</t>
  </si>
  <si>
    <t>CRITICAL</t>
  </si>
  <si>
    <t>Database Admin / SecOps</t>
  </si>
  <si>
    <t>Deploy dynamic data masking in non-prod environments and use AWS Macie to scan S3 exports and backups for sensitive data exposure.</t>
  </si>
  <si>
    <t>30 Days</t>
  </si>
  <si>
    <t>A.5.15</t>
  </si>
  <si>
    <t>PR.AA-03</t>
  </si>
  <si>
    <t>Access control &amp; identity management; supporting: secure authentication (A.8.5)</t>
  </si>
  <si>
    <t>All administrative access to cloud control planes must be strictly governed.</t>
  </si>
  <si>
    <t>Console logins enforce MFA, but CLI/API access uses long-lived access keys with no MFA session requirement.</t>
  </si>
  <si>
    <t>IAM / SecOps</t>
  </si>
  <si>
    <t>Enforce conditional access policies blocking AWS CLI/API actions unless authenticated via hardware/TOTP MFA.</t>
  </si>
  <si>
    <t>A.8.9</t>
  </si>
  <si>
    <t>PR.PS-05</t>
  </si>
  <si>
    <t>Secure deployment configuration, container image integrity</t>
  </si>
  <si>
    <t>Microservices run on containerized Kubernetes (EKS) clusters.</t>
  </si>
  <si>
    <t>Per simulated DevOps Lead interview: images are signed in some pipelines, but EKS has no admission control that rejects unsigned or unverified images.</t>
  </si>
  <si>
    <t>DevOps</t>
  </si>
  <si>
    <t>Integrate Cosign/Kyverno admission controllers to enforce signed container image policies before cluster deployment.</t>
  </si>
  <si>
    <t>A.8.24</t>
  </si>
  <si>
    <t>PR.DS-02</t>
  </si>
  <si>
    <t>Use of cryptography &amp; key management</t>
  </si>
  <si>
    <t>Database encryption at rest and in transit is required for financial transaction data.</t>
  </si>
  <si>
    <t>Level 3 - Defined</t>
  </si>
  <si>
    <t>Database backup keys are managed using default cloud service provider keys without Customer Managed Keys (CMK) rotation schedules.</t>
  </si>
  <si>
    <t>MEDIUM</t>
  </si>
  <si>
    <t>SecOps</t>
  </si>
  <si>
    <t>Migrate to AWS KMS Customer Managed Keys (CMK) with automated 90-day key rotation enabled.</t>
  </si>
  <si>
    <t>A.8.15</t>
  </si>
  <si>
    <t>DE.CM-01</t>
  </si>
  <si>
    <t>Logging &amp; monitoring of security events</t>
  </si>
  <si>
    <t>Mandatory for security incident detection, forensic investigations, and regulatory audit compliance.</t>
  </si>
  <si>
    <t>Fully Implemented</t>
  </si>
  <si>
    <t>Level 4 - Managed</t>
  </si>
  <si>
    <t>None. CloudTrail and VPC Flow Logs stream directly to an off-host SIEM with WORM Object Lock enabled.</t>
  </si>
  <si>
    <t>LOW</t>
  </si>
  <si>
    <t>SOC / SecOps</t>
  </si>
  <si>
    <t>Maintain quarterly log retention verification and SIEM alert tuning.</t>
  </si>
  <si>
    <t>90 Days</t>
  </si>
  <si>
    <t>A.8.8</t>
  </si>
  <si>
    <t>ID.RA-01</t>
  </si>
  <si>
    <t>Management of technical vulnerabilities</t>
  </si>
  <si>
    <t>Continuous vulnerability assessment required across code bases and container registries.</t>
  </si>
  <si>
    <t>None. Automated weekly container registry scanning integrated with Jira ticketing for Critical/High CVE remediations.</t>
  </si>
  <si>
    <t>DevSecOps</t>
  </si>
  <si>
    <t>Maintain current automated scanning SLA (SLA: 7 days for Critical CVEs).</t>
  </si>
  <si>
    <t>A.5.29</t>
  </si>
  <si>
    <t>ID.IM-02</t>
  </si>
  <si>
    <t>Information security during disruption (BCP/DR)</t>
  </si>
  <si>
    <t>SaaS SLAs guarantee 99.9% uptime for core financial APIs.</t>
  </si>
  <si>
    <t>Multi-region database failover testing has not been executed within the last 12 months; missing documented RTO/RPO metrics.</t>
  </si>
  <si>
    <t>Infrastructure / IT Leadership</t>
  </si>
  <si>
    <t>Establish RTO (4 hours) / RPO (15 minutes) targets and conduct a simulated multi-region disaster recovery failover drill.</t>
  </si>
  <si>
    <t>A.8.28</t>
  </si>
  <si>
    <t>PR.PS-06</t>
  </si>
  <si>
    <t>Secure coding &amp; application development</t>
  </si>
  <si>
    <t>Custom API backend handles sensitive financial transactions.</t>
  </si>
  <si>
    <t>Static Application Security Testing (SAST) is run manually prior to major releases rather than automated in CI/CD build pipelines.</t>
  </si>
  <si>
    <t>DevSecOps / Engineering</t>
  </si>
  <si>
    <t>Integrate SonarQube/Semgrep SAST scans into GitHub Actions CI/CD to automatically block builds containing High/Critical flaws.</t>
  </si>
  <si>
    <t>A.7.1</t>
  </si>
  <si>
    <t>Physical Controls</t>
  </si>
  <si>
    <t>PR.AA-06</t>
  </si>
  <si>
    <t>Physical security perimeter &amp; data center protection</t>
  </si>
  <si>
    <t>Not Applicable</t>
  </si>
  <si>
    <t>Data-centre physical security is inherited from AWS (see its SOC 2 Type II / ISO 27001 reports). Office and device physical controls remain in scope but were not sampled here.</t>
  </si>
  <si>
    <t>N/A (inherited)</t>
  </si>
  <si>
    <t>None (Inherited cloud control).</t>
  </si>
  <si>
    <t>Compliance / AWS Shared Responsibility</t>
  </si>
  <si>
    <t>Collect and review AWS Third-Party SOC 2 Type II audit report annually.</t>
  </si>
  <si>
    <t>EXECUTIVE COMPLIANCE SCOREBOARD</t>
  </si>
  <si>
    <t>EXECUTIVE KPI SUMMARY</t>
  </si>
  <si>
    <t>Implementation Status Summary</t>
  </si>
  <si>
    <t>Risk Breakdown Summary</t>
  </si>
  <si>
    <t>Total controls evaluated</t>
  </si>
  <si>
    <t>Status</t>
  </si>
  <si>
    <t>Count</t>
  </si>
  <si>
    <t>Percentage</t>
  </si>
  <si>
    <t>Applicable controls</t>
  </si>
  <si>
    <t>Fully implemented controls</t>
  </si>
  <si>
    <t>Partially implemented controls</t>
  </si>
  <si>
    <t>Not implemented controls</t>
  </si>
  <si>
    <t>Excluded / Inherited (AWS)</t>
  </si>
  <si>
    <t xml:space="preserve">Overall Compliance score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</si>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</sst>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Arial"/>
      <scheme val="minor"/>
    </font>
    <font>
      <color rgb="FFCC0000"/>
      <name val="Arial"/>
      <scheme val="minor"/>
    </font>
    <font>
      <b/>
      <color rgb="FFFF0000"/>
      <name val="Arial"/>
      <scheme val="minor"/>
    </font>
    <font>
      <color rgb="FF980000"/>
      <name val="Arial"/>
      <scheme val="minor"/>
    </font>
    <font>
      <b/>
      <sz val="19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1.0"/>
      <color rgb="FF000000"/>
      <name val="Montserrat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2" fillId="2" fontId="6" numFmtId="0" xfId="0" applyAlignment="1" applyBorder="1" applyFill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2" fontId="8" numFmtId="0" xfId="0" applyAlignment="1" applyBorder="1" applyFill="1" applyFont="1">
      <alignment horizontal="center" readingOrder="0"/>
    </xf>
    <xf borderId="9" fillId="0" fontId="7" numFmtId="0" xfId="0" applyBorder="1" applyFont="1"/>
    <xf borderId="10" fillId="0" fontId="7" numFmtId="0" xfId="0" applyBorder="1" applyFont="1"/>
    <xf borderId="8" fillId="2" fontId="9" numFmtId="0" xfId="0" applyAlignment="1" applyBorder="1" applyFill="1" applyFont="1">
      <alignment horizontal="center" readingOrder="0"/>
    </xf>
    <xf borderId="8" fillId="0" fontId="10" numFmtId="0" xfId="0" applyAlignment="1" applyBorder="1" applyFont="1">
      <alignment readingOrder="0"/>
    </xf>
    <xf borderId="11" fillId="0" fontId="10" numFmtId="0" xfId="0" applyAlignment="1" applyBorder="1" applyFont="1">
      <alignment horizontal="right" readingOrder="0"/>
    </xf>
    <xf borderId="11" fillId="2" fontId="9" numFmtId="0" xfId="0" applyAlignment="1" applyBorder="1" applyFill="1" applyFont="1">
      <alignment horizontal="center" readingOrder="0"/>
    </xf>
    <xf borderId="11" fillId="0" fontId="10" numFmtId="0" xfId="0" applyAlignment="1" applyBorder="1" applyFont="1">
      <alignment readingOrder="0"/>
    </xf>
    <xf borderId="11" fillId="0" fontId="2" numFmtId="10" xfId="0" applyBorder="1" applyFont="1" applyNumberFormat="1"/>
    <xf borderId="11" fillId="0" fontId="2" numFmtId="0" xfId="0" applyAlignment="1" applyBorder="1" applyFont="1">
      <alignment readingOrder="0"/>
    </xf>
    <xf borderId="11" fillId="0" fontId="2" numFmtId="0" xfId="0" applyBorder="1" applyFont="1"/>
    <xf borderId="11" fillId="0" fontId="10" numFmtId="0" xfId="0" applyBorder="1" applyFont="1"/>
    <xf borderId="11" fillId="0" fontId="10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  <a:r>
              <a:rPr b="0" sz="2400">
                <a:solidFill>
                  <a:srgbClr val="000000"/>
                </a:solidFill>
                <a:latin typeface="+mn-lt"/>
              </a:rPr>
              <a:t>Implementation Status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'Executive Summary'!$G$7:$G$10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Risk Breakdown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'Executive Summary'!$K$5:$K$6</c:f>
            </c:strRef>
          </c:tx>
          <c:spPr>
            <a:solidFill>
              <a:schemeClr val="accent1"/>
            </a:solidFill>
            <a:ln cmpd="sng" w="19050">
              <a:noFill/>
            </a:ln>
          </c:spPr>
          <c:invertIfNegative val="0"/>
          <c:cat>
            <c:strRef>
              <c:f>'Executive Summary'!$J$7:$J$10</c:f>
            </c:strRef>
          </c:cat>
          <c:val>
            <c:numRef>
              <c:f>'Executive Summary'!$K$7:$K$10</c:f>
              <c:numCache/>
            </c:numRef>
          </c:val>
        </c:ser>
        <c:axId val="597666653"/>
        <c:axId val="2032220407"/>
      </c:bar3DChart>
      <c:catAx>
        <c:axId val="597666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Inherent Risk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220407"/>
      </c:catAx>
      <c:valAx>
        <c:axId val="2032220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666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12</xdr:row>
      <xdr:rowOff>190500</xdr:rowOff>
    </xdr:from>
    <xdr:ext cx="5076825" cy="3448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523875</xdr:colOff>
      <xdr:row>12</xdr:row>
      <xdr:rowOff>190500</xdr:rowOff>
    </xdr:from>
    <xdr:ext cx="5638800" cy="3448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9.25"/>
    <col customWidth="1" min="3" max="3" width="17.13"/>
    <col customWidth="1" min="4" max="5" width="15.25"/>
    <col customWidth="1" min="6" max="6" width="23.25"/>
    <col customWidth="1" min="7" max="7" width="17.13"/>
    <col customWidth="1" min="8" max="8" width="14.0"/>
    <col customWidth="1" min="9" max="9" width="29.5"/>
    <col customWidth="1" min="12" max="12" width="28.13"/>
    <col customWidth="1" min="13" max="13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/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5" t="s">
        <v>22</v>
      </c>
      <c r="K2" s="4" t="s">
        <v>23</v>
      </c>
      <c r="L2" s="4" t="s">
        <v>24</v>
      </c>
      <c r="M2" s="4" t="s">
        <v>25</v>
      </c>
    </row>
    <row r="3">
      <c r="A3" s="4" t="s">
        <v>26</v>
      </c>
      <c r="B3" s="4" t="s">
        <v>27</v>
      </c>
      <c r="C3" s="4" t="s">
        <v>28</v>
      </c>
      <c r="D3" s="4" t="s">
        <v>29</v>
      </c>
      <c r="E3" s="4" t="s">
        <v>17</v>
      </c>
      <c r="F3" s="4" t="s">
        <v>30</v>
      </c>
      <c r="G3" s="4" t="s">
        <v>31</v>
      </c>
      <c r="H3" s="4" t="s">
        <v>32</v>
      </c>
      <c r="I3" s="4" t="s">
        <v>33</v>
      </c>
      <c r="J3" s="6" t="s">
        <v>34</v>
      </c>
      <c r="K3" s="4" t="s">
        <v>35</v>
      </c>
      <c r="L3" s="4" t="s">
        <v>36</v>
      </c>
      <c r="M3" s="4" t="s">
        <v>37</v>
      </c>
    </row>
    <row r="4">
      <c r="A4" s="4" t="s">
        <v>38</v>
      </c>
      <c r="B4" s="4" t="s">
        <v>14</v>
      </c>
      <c r="C4" s="4" t="s">
        <v>39</v>
      </c>
      <c r="D4" s="4" t="s">
        <v>40</v>
      </c>
      <c r="E4" s="4" t="s">
        <v>17</v>
      </c>
      <c r="F4" s="4" t="s">
        <v>41</v>
      </c>
      <c r="G4" s="4" t="s">
        <v>19</v>
      </c>
      <c r="H4" s="4" t="s">
        <v>20</v>
      </c>
      <c r="I4" s="4" t="s">
        <v>42</v>
      </c>
      <c r="J4" s="7" t="s">
        <v>22</v>
      </c>
      <c r="K4" s="4" t="s">
        <v>43</v>
      </c>
      <c r="L4" s="4" t="s">
        <v>44</v>
      </c>
      <c r="M4" s="4" t="s">
        <v>37</v>
      </c>
    </row>
    <row r="5">
      <c r="A5" s="4" t="s">
        <v>45</v>
      </c>
      <c r="B5" s="4" t="s">
        <v>27</v>
      </c>
      <c r="C5" s="4" t="s">
        <v>46</v>
      </c>
      <c r="D5" s="4" t="s">
        <v>47</v>
      </c>
      <c r="E5" s="4" t="s">
        <v>17</v>
      </c>
      <c r="F5" s="4" t="s">
        <v>48</v>
      </c>
      <c r="G5" s="4" t="s">
        <v>19</v>
      </c>
      <c r="H5" s="4" t="s">
        <v>20</v>
      </c>
      <c r="I5" s="4" t="s">
        <v>49</v>
      </c>
      <c r="J5" s="7" t="s">
        <v>22</v>
      </c>
      <c r="K5" s="4" t="s">
        <v>50</v>
      </c>
      <c r="L5" s="4" t="s">
        <v>51</v>
      </c>
      <c r="M5" s="4" t="s">
        <v>25</v>
      </c>
    </row>
    <row r="6">
      <c r="A6" s="4" t="s">
        <v>52</v>
      </c>
      <c r="B6" s="4" t="s">
        <v>27</v>
      </c>
      <c r="C6" s="4" t="s">
        <v>53</v>
      </c>
      <c r="D6" s="4" t="s">
        <v>54</v>
      </c>
      <c r="E6" s="4" t="s">
        <v>17</v>
      </c>
      <c r="F6" s="4" t="s">
        <v>55</v>
      </c>
      <c r="G6" s="4" t="s">
        <v>19</v>
      </c>
      <c r="H6" s="4" t="s">
        <v>56</v>
      </c>
      <c r="I6" s="4" t="s">
        <v>57</v>
      </c>
      <c r="J6" s="4" t="s">
        <v>58</v>
      </c>
      <c r="K6" s="4" t="s">
        <v>59</v>
      </c>
      <c r="L6" s="4" t="s">
        <v>60</v>
      </c>
      <c r="M6" s="4" t="s">
        <v>25</v>
      </c>
    </row>
    <row r="7">
      <c r="A7" s="4" t="s">
        <v>61</v>
      </c>
      <c r="B7" s="4" t="s">
        <v>27</v>
      </c>
      <c r="C7" s="4" t="s">
        <v>62</v>
      </c>
      <c r="D7" s="4" t="s">
        <v>63</v>
      </c>
      <c r="E7" s="4" t="s">
        <v>17</v>
      </c>
      <c r="F7" s="4" t="s">
        <v>64</v>
      </c>
      <c r="G7" s="4" t="s">
        <v>65</v>
      </c>
      <c r="H7" s="4" t="s">
        <v>66</v>
      </c>
      <c r="I7" s="4" t="s">
        <v>67</v>
      </c>
      <c r="J7" s="4" t="s">
        <v>68</v>
      </c>
      <c r="K7" s="4" t="s">
        <v>69</v>
      </c>
      <c r="L7" s="4" t="s">
        <v>70</v>
      </c>
      <c r="M7" s="4" t="s">
        <v>71</v>
      </c>
    </row>
    <row r="8">
      <c r="A8" s="4" t="s">
        <v>72</v>
      </c>
      <c r="B8" s="4" t="s">
        <v>27</v>
      </c>
      <c r="C8" s="4" t="s">
        <v>73</v>
      </c>
      <c r="D8" s="4" t="s">
        <v>74</v>
      </c>
      <c r="E8" s="4" t="s">
        <v>17</v>
      </c>
      <c r="F8" s="4" t="s">
        <v>75</v>
      </c>
      <c r="G8" s="4" t="s">
        <v>65</v>
      </c>
      <c r="H8" s="4" t="s">
        <v>66</v>
      </c>
      <c r="I8" s="4" t="s">
        <v>76</v>
      </c>
      <c r="J8" s="4" t="s">
        <v>68</v>
      </c>
      <c r="K8" s="4" t="s">
        <v>77</v>
      </c>
      <c r="L8" s="4" t="s">
        <v>78</v>
      </c>
      <c r="M8" s="4" t="s">
        <v>71</v>
      </c>
    </row>
    <row r="9">
      <c r="A9" s="4" t="s">
        <v>79</v>
      </c>
      <c r="B9" s="4" t="s">
        <v>14</v>
      </c>
      <c r="C9" s="4" t="s">
        <v>80</v>
      </c>
      <c r="D9" s="4" t="s">
        <v>81</v>
      </c>
      <c r="E9" s="4" t="s">
        <v>17</v>
      </c>
      <c r="F9" s="4" t="s">
        <v>82</v>
      </c>
      <c r="G9" s="4" t="s">
        <v>31</v>
      </c>
      <c r="H9" s="4" t="s">
        <v>32</v>
      </c>
      <c r="I9" s="4" t="s">
        <v>83</v>
      </c>
      <c r="J9" s="6" t="s">
        <v>34</v>
      </c>
      <c r="K9" s="4" t="s">
        <v>84</v>
      </c>
      <c r="L9" s="4" t="s">
        <v>85</v>
      </c>
      <c r="M9" s="4" t="s">
        <v>37</v>
      </c>
    </row>
    <row r="10">
      <c r="A10" s="4" t="s">
        <v>86</v>
      </c>
      <c r="B10" s="4" t="s">
        <v>27</v>
      </c>
      <c r="C10" s="4" t="s">
        <v>87</v>
      </c>
      <c r="D10" s="4" t="s">
        <v>88</v>
      </c>
      <c r="E10" s="4" t="s">
        <v>17</v>
      </c>
      <c r="F10" s="4" t="s">
        <v>89</v>
      </c>
      <c r="G10" s="4" t="s">
        <v>19</v>
      </c>
      <c r="H10" s="4" t="s">
        <v>20</v>
      </c>
      <c r="I10" s="4" t="s">
        <v>90</v>
      </c>
      <c r="J10" s="7" t="s">
        <v>22</v>
      </c>
      <c r="K10" s="4" t="s">
        <v>91</v>
      </c>
      <c r="L10" s="4" t="s">
        <v>92</v>
      </c>
      <c r="M10" s="4" t="s">
        <v>25</v>
      </c>
    </row>
    <row r="1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98</v>
      </c>
      <c r="G11" s="4" t="s">
        <v>65</v>
      </c>
      <c r="H11" s="4" t="s">
        <v>99</v>
      </c>
      <c r="I11" s="4" t="s">
        <v>100</v>
      </c>
      <c r="J11" s="4" t="s">
        <v>68</v>
      </c>
      <c r="K11" s="4" t="s">
        <v>101</v>
      </c>
      <c r="L11" s="4" t="s">
        <v>102</v>
      </c>
      <c r="M11" s="4" t="s">
        <v>71</v>
      </c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.63"/>
    <col customWidth="1" min="6" max="6" width="25.25"/>
    <col customWidth="1" min="7" max="7" width="13.25"/>
    <col customWidth="1" min="9" max="9" width="3.63"/>
    <col customWidth="1" min="10" max="10" width="27.88"/>
  </cols>
  <sheetData>
    <row r="2">
      <c r="B2" s="8" t="s">
        <v>103</v>
      </c>
      <c r="C2" s="9"/>
      <c r="D2" s="9"/>
      <c r="E2" s="9"/>
      <c r="F2" s="9"/>
      <c r="G2" s="9"/>
      <c r="H2" s="9"/>
      <c r="I2" s="9"/>
      <c r="J2" s="9"/>
      <c r="K2" s="9"/>
      <c r="L2" s="10"/>
    </row>
    <row r="3"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</row>
    <row r="5">
      <c r="B5" s="14" t="s">
        <v>104</v>
      </c>
      <c r="C5" s="15"/>
      <c r="D5" s="16"/>
      <c r="F5" s="17" t="s">
        <v>105</v>
      </c>
      <c r="G5" s="15"/>
      <c r="H5" s="16"/>
      <c r="J5" s="17" t="s">
        <v>106</v>
      </c>
      <c r="K5" s="15"/>
      <c r="L5" s="16"/>
    </row>
    <row r="6">
      <c r="B6" s="18" t="s">
        <v>107</v>
      </c>
      <c r="C6" s="16"/>
      <c r="D6" s="19">
        <f>COUNTA('Control Assessment &amp; SoA'!A2:A11)</f>
        <v>10</v>
      </c>
      <c r="F6" s="20" t="s">
        <v>108</v>
      </c>
      <c r="G6" s="20" t="s">
        <v>109</v>
      </c>
      <c r="H6" s="20" t="s">
        <v>110</v>
      </c>
      <c r="J6" s="20" t="s">
        <v>9</v>
      </c>
      <c r="K6" s="20" t="s">
        <v>109</v>
      </c>
      <c r="L6" s="20" t="s">
        <v>110</v>
      </c>
    </row>
    <row r="7">
      <c r="B7" s="18" t="s">
        <v>111</v>
      </c>
      <c r="C7" s="16"/>
      <c r="D7" s="21">
        <f>COUNTIF('Control Assessment &amp; SoA'!E2:E11, "Applicable")</f>
        <v>9</v>
      </c>
      <c r="F7" s="18" t="s">
        <v>112</v>
      </c>
      <c r="G7" s="21">
        <f>COUNTIF('Control Assessment &amp; SoA'!G2:G11, "Fully Implemented") - COUNTIF('Control Assessment &amp; SoA'!E2:E11, "Not Applicable")</f>
        <v>2</v>
      </c>
      <c r="H7" s="22">
        <f>G7/G11</f>
        <v>0.2</v>
      </c>
      <c r="J7" s="23" t="s">
        <v>34</v>
      </c>
      <c r="K7" s="24">
        <f>Countif('Control Assessment &amp; SoA'!J2:J11, "Critical")</f>
        <v>2</v>
      </c>
      <c r="L7" s="22">
        <f>K7/K11</f>
        <v>0.2</v>
      </c>
    </row>
    <row r="8">
      <c r="B8" s="18" t="s">
        <v>112</v>
      </c>
      <c r="C8" s="16"/>
      <c r="D8" s="25">
        <f>COUNTIF('Control Assessment &amp; SoA'!G2:G11, "Fully Implemented") - COUNTIF('Control Assessment &amp; SoA'!E2:E11, "Not Applicable")</f>
        <v>2</v>
      </c>
      <c r="F8" s="18" t="s">
        <v>113</v>
      </c>
      <c r="G8" s="21">
        <f>COUNTIF('Control Assessment &amp; SoA'!G2:G11, "Partially Implemented")</f>
        <v>5</v>
      </c>
      <c r="H8" s="22">
        <f>G8/G11</f>
        <v>0.5</v>
      </c>
      <c r="J8" s="23" t="s">
        <v>22</v>
      </c>
      <c r="K8" s="24">
        <f>Countif('Control Assessment &amp; SoA'!J2:J11, "HIGH")</f>
        <v>4</v>
      </c>
      <c r="L8" s="22">
        <f>K8/K11</f>
        <v>0.4</v>
      </c>
    </row>
    <row r="9">
      <c r="B9" s="18" t="s">
        <v>113</v>
      </c>
      <c r="C9" s="16"/>
      <c r="D9" s="25">
        <f>COUNTIF('Control Assessment &amp; SoA'!G2:G11, "Partially Implemented")</f>
        <v>5</v>
      </c>
      <c r="F9" s="18" t="s">
        <v>114</v>
      </c>
      <c r="G9" s="25">
        <f>COUNTIF('Control Assessment &amp; SoA'!G2:G11, "Not Implemented")</f>
        <v>2</v>
      </c>
      <c r="H9" s="22">
        <f>G9/G11</f>
        <v>0.2</v>
      </c>
      <c r="J9" s="23" t="s">
        <v>58</v>
      </c>
      <c r="K9" s="24">
        <f>Countif('Control Assessment &amp; SoA'!J2:J11, "Medium")</f>
        <v>1</v>
      </c>
      <c r="L9" s="22">
        <f>K9/K11</f>
        <v>0.1</v>
      </c>
    </row>
    <row r="10">
      <c r="B10" s="18" t="s">
        <v>114</v>
      </c>
      <c r="C10" s="16"/>
      <c r="D10" s="25">
        <f>COUNTIF('Control Assessment &amp; SoA'!G2:G11, "Not Implemented")</f>
        <v>2</v>
      </c>
      <c r="F10" s="23" t="s">
        <v>115</v>
      </c>
      <c r="G10" s="24">
        <f>COUNTIF('Control Assessment &amp; SoA'!E2:E11, "Not Applicable")</f>
        <v>1</v>
      </c>
      <c r="H10" s="22">
        <f>G10/G11</f>
        <v>0.1</v>
      </c>
      <c r="J10" s="23" t="s">
        <v>68</v>
      </c>
      <c r="K10" s="24">
        <f>Countif('Control Assessment &amp; SoA'!J2:J11, "low")</f>
        <v>3</v>
      </c>
      <c r="L10" s="22">
        <f>K10/K11</f>
        <v>0.3</v>
      </c>
    </row>
    <row r="11">
      <c r="B11" s="18" t="s">
        <v>116</v>
      </c>
      <c r="C11" s="16"/>
      <c r="D11" s="26">
        <f>((COUNTIF('Control Assessment &amp; SoA'!G2:G11, "Fully Implemented") - COUNTIF('Control Assessment &amp; SoA'!E2:E11, "Not Applicable"))*1 + COUNTIF('Control Assessment &amp; SoA'!G2:G11, "Partially Implemented")*0.5) / COUNTIF('Control Assessment &amp; SoA'!E2:E11, "Applicable")</f>
        <v>0.5</v>
      </c>
      <c r="F11" s="23" t="s">
        <v>117</v>
      </c>
      <c r="G11" s="24">
        <f t="shared" ref="G11:H11" si="1">G7+G8+G9+G10</f>
        <v>10</v>
      </c>
      <c r="H11" s="22">
        <f t="shared" si="1"/>
        <v>1</v>
      </c>
      <c r="J11" s="23" t="s">
        <v>117</v>
      </c>
      <c r="K11" s="24">
        <f t="shared" ref="K11:L11" si="2">K7+K8+K9+K10</f>
        <v>10</v>
      </c>
      <c r="L11" s="22">
        <f t="shared" si="2"/>
        <v>1</v>
      </c>
    </row>
  </sheetData>
  <mergeCells count="10">
    <mergeCell ref="B9:C9"/>
    <mergeCell ref="B10:C10"/>
    <mergeCell ref="B11:C11"/>
    <mergeCell ref="B2:L3"/>
    <mergeCell ref="B5:D5"/>
    <mergeCell ref="F5:H5"/>
    <mergeCell ref="J5:L5"/>
    <mergeCell ref="B6:C6"/>
    <mergeCell ref="B7:C7"/>
    <mergeCell ref="B8:C8"/>
  </mergeCells>
  <drawing r:id="rId1"/>
</worksheet>
</file>